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shtm-my.sharepoint.com/personal/lsh1800717_lshtm_ac_uk/Documents/CHIK_benefit_risk/06_Results/"/>
    </mc:Choice>
  </mc:AlternateContent>
  <xr:revisionPtr revIDLastSave="50" documentId="11_C6565CDC8F79A8D366075C52F37BD2722AC00329" xr6:coauthVersionLast="47" xr6:coauthVersionMax="47" xr10:uidLastSave="{5C858EC7-6737-2A4C-A284-435C9FEBA488}"/>
  <bookViews>
    <workbookView xWindow="31160" yWindow="5300" windowWidth="23660" windowHeight="1862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2" l="1"/>
  <c r="F30" i="2"/>
</calcChain>
</file>

<file path=xl/sharedStrings.xml><?xml version="1.0" encoding="utf-8"?>
<sst xmlns="http://schemas.openxmlformats.org/spreadsheetml/2006/main" count="246" uniqueCount="101">
  <si>
    <t>outcome</t>
  </si>
  <si>
    <t>setting</t>
  </si>
  <si>
    <t>AgeCat</t>
  </si>
  <si>
    <t>threshold</t>
  </si>
  <si>
    <t>Disease blocking only</t>
  </si>
  <si>
    <t>Disease and infection blocking</t>
  </si>
  <si>
    <t>DALY</t>
  </si>
  <si>
    <t>Low</t>
  </si>
  <si>
    <t>1-11</t>
  </si>
  <si>
    <t>50%</t>
  </si>
  <si>
    <t>68%</t>
  </si>
  <si>
    <t>Death</t>
  </si>
  <si>
    <t>32%</t>
  </si>
  <si>
    <t>51%</t>
  </si>
  <si>
    <t>SAE</t>
  </si>
  <si>
    <t>64%</t>
  </si>
  <si>
    <t>84%</t>
  </si>
  <si>
    <t>12-17</t>
  </si>
  <si>
    <t>45%</t>
  </si>
  <si>
    <t>71%</t>
  </si>
  <si>
    <t>19%</t>
  </si>
  <si>
    <t>46%</t>
  </si>
  <si>
    <t>37%</t>
  </si>
  <si>
    <t>73%</t>
  </si>
  <si>
    <t>18-64</t>
  </si>
  <si>
    <t>66%</t>
  </si>
  <si>
    <t>14%</t>
  </si>
  <si>
    <t>35%</t>
  </si>
  <si>
    <t>18%</t>
  </si>
  <si>
    <t>54%</t>
  </si>
  <si>
    <t>65+</t>
  </si>
  <si>
    <t>21%</t>
  </si>
  <si>
    <t>60%</t>
  </si>
  <si>
    <t>6%</t>
  </si>
  <si>
    <t>2%</t>
  </si>
  <si>
    <t>25%</t>
  </si>
  <si>
    <t>Moderate</t>
  </si>
  <si>
    <t>69%</t>
  </si>
  <si>
    <t>86%</t>
  </si>
  <si>
    <t>67%</t>
  </si>
  <si>
    <t>96%</t>
  </si>
  <si>
    <t>99%</t>
  </si>
  <si>
    <t>65%</t>
  </si>
  <si>
    <t>88%</t>
  </si>
  <si>
    <t>26%</t>
  </si>
  <si>
    <t>61%</t>
  </si>
  <si>
    <t>70%</t>
  </si>
  <si>
    <t>97%</t>
  </si>
  <si>
    <t>85%</t>
  </si>
  <si>
    <t>49%</t>
  </si>
  <si>
    <t>40%</t>
  </si>
  <si>
    <t>87%</t>
  </si>
  <si>
    <t>43%</t>
  </si>
  <si>
    <t>9%</t>
  </si>
  <si>
    <t>24%</t>
  </si>
  <si>
    <t>4%</t>
  </si>
  <si>
    <t>High</t>
  </si>
  <si>
    <t>100%</t>
  </si>
  <si>
    <t>83%</t>
  </si>
  <si>
    <t>81%</t>
  </si>
  <si>
    <t>92%</t>
  </si>
  <si>
    <t>95%</t>
  </si>
  <si>
    <t>34%</t>
  </si>
  <si>
    <t>63%</t>
  </si>
  <si>
    <t>94%</t>
  </si>
  <si>
    <t>23%</t>
  </si>
  <si>
    <t>74%</t>
  </si>
  <si>
    <t>State</t>
  </si>
  <si>
    <t>Peak cases</t>
  </si>
  <si>
    <t>Total population</t>
  </si>
  <si>
    <t>Peak cases per million</t>
  </si>
  <si>
    <t>Total reported cases</t>
  </si>
  <si>
    <t>Group</t>
  </si>
  <si>
    <t>Ceara</t>
  </si>
  <si>
    <t>Minas Gerais</t>
  </si>
  <si>
    <t>Pernambuco</t>
  </si>
  <si>
    <t>Bahia</t>
  </si>
  <si>
    <t>Paraiba</t>
  </si>
  <si>
    <t>Piaui</t>
  </si>
  <si>
    <t>Alagoas</t>
  </si>
  <si>
    <t>Tocantins</t>
  </si>
  <si>
    <t>Rio Grande do Norte</t>
  </si>
  <si>
    <t>Goias</t>
  </si>
  <si>
    <t>Sergipe</t>
  </si>
  <si>
    <t>Maranhao</t>
  </si>
  <si>
    <t>Insufficient</t>
  </si>
  <si>
    <t>Sao Paulo</t>
  </si>
  <si>
    <t>Distrito Federal</t>
  </si>
  <si>
    <t>Rio de Janeiro</t>
  </si>
  <si>
    <t>Amazonas</t>
  </si>
  <si>
    <t>Roraima</t>
  </si>
  <si>
    <t>Mato Grosso do Sul</t>
  </si>
  <si>
    <t>Mato Grosso</t>
  </si>
  <si>
    <t>Para</t>
  </si>
  <si>
    <t>Rio Grande do Sul</t>
  </si>
  <si>
    <t>Rondonia</t>
  </si>
  <si>
    <t>Santa Catarina</t>
  </si>
  <si>
    <t>Amapa</t>
  </si>
  <si>
    <t>Paraa</t>
  </si>
  <si>
    <t>Acre</t>
  </si>
  <si>
    <t>Esperito Santo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</si>
</sst>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ptos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5" borderId="1" xfId="0" applyFont="1" applyFill="1" applyBorder="1" applyAlignment="1">
      <alignment vertical="top"/>
    </xf>
    <xf numFmtId="0" fontId="3" fillId="5" borderId="2" xfId="0" applyFont="1" applyFill="1" applyBorder="1" applyAlignment="1">
      <alignment vertical="center"/>
    </xf>
    <xf numFmtId="0" fontId="3" fillId="5" borderId="3" xfId="0" applyFont="1" applyFill="1" applyBorder="1" applyAlignment="1">
      <alignment horizontal="right" vertical="center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37"/>
  <sheetViews>
    <sheetView zoomScale="120" zoomScaleNormal="120" workbookViewId="0">
      <selection activeCell="F24" sqref="A24:F24"/>
    </sheetView>
  </sheetViews>
  <sheetFormatPr baseColWidth="10" defaultColWidth="8.83203125" defaultRowHeight="15" x14ac:dyDescent="0.2"/>
  <cols>
    <col min="1" max="1" width="8.1640625" bestFit="1" customWidth="1"/>
    <col min="2" max="2" width="8.5" bestFit="1" customWidth="1"/>
    <col min="3" max="3" width="6.6640625" bestFit="1" customWidth="1"/>
    <col min="4" max="4" width="8.6640625" bestFit="1" customWidth="1"/>
    <col min="5" max="5" width="22.6640625" bestFit="1" customWidth="1"/>
    <col min="6" max="6" width="29.6640625" bestFit="1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idden="1" x14ac:dyDescent="0.2">
      <c r="A2" t="s">
        <v>14</v>
      </c>
      <c r="B2" t="s">
        <v>36</v>
      </c>
      <c r="C2" t="s">
        <v>8</v>
      </c>
      <c r="D2">
        <v>1</v>
      </c>
      <c r="E2" t="s">
        <v>40</v>
      </c>
      <c r="F2" t="s">
        <v>41</v>
      </c>
    </row>
    <row r="3" spans="1:6" hidden="1" x14ac:dyDescent="0.2">
      <c r="A3" t="s">
        <v>14</v>
      </c>
      <c r="B3" t="s">
        <v>36</v>
      </c>
      <c r="C3" t="s">
        <v>17</v>
      </c>
      <c r="D3">
        <v>1</v>
      </c>
      <c r="E3" t="s">
        <v>46</v>
      </c>
      <c r="F3" t="s">
        <v>47</v>
      </c>
    </row>
    <row r="4" spans="1:6" hidden="1" x14ac:dyDescent="0.2">
      <c r="A4" t="s">
        <v>11</v>
      </c>
      <c r="B4" t="s">
        <v>36</v>
      </c>
      <c r="C4" t="s">
        <v>8</v>
      </c>
      <c r="D4">
        <v>1</v>
      </c>
      <c r="E4" t="s">
        <v>21</v>
      </c>
      <c r="F4" t="s">
        <v>39</v>
      </c>
    </row>
    <row r="5" spans="1:6" hidden="1" x14ac:dyDescent="0.2">
      <c r="A5" s="2" t="s">
        <v>6</v>
      </c>
      <c r="B5" s="2" t="s">
        <v>56</v>
      </c>
      <c r="C5" s="2" t="s">
        <v>8</v>
      </c>
      <c r="D5" s="2">
        <v>1</v>
      </c>
      <c r="E5" s="2" t="s">
        <v>43</v>
      </c>
      <c r="F5" s="2" t="s">
        <v>47</v>
      </c>
    </row>
    <row r="6" spans="1:6" hidden="1" x14ac:dyDescent="0.2">
      <c r="A6" s="2" t="s">
        <v>6</v>
      </c>
      <c r="B6" s="2" t="s">
        <v>56</v>
      </c>
      <c r="C6" s="2" t="s">
        <v>17</v>
      </c>
      <c r="D6" s="2">
        <v>1</v>
      </c>
      <c r="E6" s="2" t="s">
        <v>58</v>
      </c>
      <c r="F6" s="2" t="s">
        <v>47</v>
      </c>
    </row>
    <row r="7" spans="1:6" hidden="1" x14ac:dyDescent="0.2">
      <c r="A7" s="2" t="s">
        <v>6</v>
      </c>
      <c r="B7" s="2" t="s">
        <v>56</v>
      </c>
      <c r="C7" s="2" t="s">
        <v>24</v>
      </c>
      <c r="D7" s="2">
        <v>1</v>
      </c>
      <c r="E7" s="2" t="s">
        <v>59</v>
      </c>
      <c r="F7" s="2" t="s">
        <v>61</v>
      </c>
    </row>
    <row r="8" spans="1:6" hidden="1" x14ac:dyDescent="0.2">
      <c r="A8" t="s">
        <v>14</v>
      </c>
      <c r="B8" t="s">
        <v>36</v>
      </c>
      <c r="C8" t="s">
        <v>24</v>
      </c>
      <c r="D8">
        <v>1</v>
      </c>
      <c r="E8" t="s">
        <v>50</v>
      </c>
      <c r="F8" t="s">
        <v>51</v>
      </c>
    </row>
    <row r="9" spans="1:6" hidden="1" x14ac:dyDescent="0.2">
      <c r="A9" t="s">
        <v>14</v>
      </c>
      <c r="B9" t="s">
        <v>36</v>
      </c>
      <c r="C9" t="s">
        <v>30</v>
      </c>
      <c r="D9">
        <v>1</v>
      </c>
      <c r="E9" t="s">
        <v>55</v>
      </c>
      <c r="F9" t="s">
        <v>18</v>
      </c>
    </row>
    <row r="10" spans="1:6" hidden="1" x14ac:dyDescent="0.2">
      <c r="A10" s="3" t="s">
        <v>6</v>
      </c>
      <c r="B10" s="3" t="s">
        <v>36</v>
      </c>
      <c r="C10" s="3" t="s">
        <v>8</v>
      </c>
      <c r="D10" s="3">
        <v>1</v>
      </c>
      <c r="E10" s="3" t="s">
        <v>37</v>
      </c>
      <c r="F10" s="3" t="s">
        <v>38</v>
      </c>
    </row>
    <row r="11" spans="1:6" hidden="1" x14ac:dyDescent="0.2">
      <c r="A11" t="s">
        <v>11</v>
      </c>
      <c r="B11" t="s">
        <v>36</v>
      </c>
      <c r="C11" t="s">
        <v>17</v>
      </c>
      <c r="D11">
        <v>1</v>
      </c>
      <c r="E11" t="s">
        <v>44</v>
      </c>
      <c r="F11" t="s">
        <v>45</v>
      </c>
    </row>
    <row r="12" spans="1:6" hidden="1" x14ac:dyDescent="0.2">
      <c r="A12" s="3" t="s">
        <v>6</v>
      </c>
      <c r="B12" s="3" t="s">
        <v>36</v>
      </c>
      <c r="C12" s="3" t="s">
        <v>17</v>
      </c>
      <c r="D12" s="3">
        <v>1</v>
      </c>
      <c r="E12" s="3" t="s">
        <v>42</v>
      </c>
      <c r="F12" s="3" t="s">
        <v>43</v>
      </c>
    </row>
    <row r="13" spans="1:6" hidden="1" x14ac:dyDescent="0.2">
      <c r="A13" s="3" t="s">
        <v>6</v>
      </c>
      <c r="B13" s="3" t="s">
        <v>36</v>
      </c>
      <c r="C13" s="3" t="s">
        <v>24</v>
      </c>
      <c r="D13" s="3">
        <v>1</v>
      </c>
      <c r="E13" s="3" t="s">
        <v>42</v>
      </c>
      <c r="F13" s="3" t="s">
        <v>48</v>
      </c>
    </row>
    <row r="14" spans="1:6" x14ac:dyDescent="0.2">
      <c r="A14" t="s">
        <v>14</v>
      </c>
      <c r="B14" t="s">
        <v>7</v>
      </c>
      <c r="C14" t="s">
        <v>8</v>
      </c>
      <c r="D14">
        <v>1</v>
      </c>
      <c r="E14" t="s">
        <v>15</v>
      </c>
      <c r="F14" t="s">
        <v>16</v>
      </c>
    </row>
    <row r="15" spans="1:6" hidden="1" x14ac:dyDescent="0.2">
      <c r="A15" s="2" t="s">
        <v>6</v>
      </c>
      <c r="B15" s="2" t="s">
        <v>56</v>
      </c>
      <c r="C15" s="2" t="s">
        <v>30</v>
      </c>
      <c r="D15" s="2">
        <v>1</v>
      </c>
      <c r="E15" s="2" t="s">
        <v>63</v>
      </c>
      <c r="F15" s="2" t="s">
        <v>64</v>
      </c>
    </row>
    <row r="16" spans="1:6" hidden="1" x14ac:dyDescent="0.2">
      <c r="A16" t="s">
        <v>11</v>
      </c>
      <c r="B16" t="s">
        <v>36</v>
      </c>
      <c r="C16" t="s">
        <v>24</v>
      </c>
      <c r="D16">
        <v>1</v>
      </c>
      <c r="E16" t="s">
        <v>28</v>
      </c>
      <c r="F16" t="s">
        <v>49</v>
      </c>
    </row>
    <row r="17" spans="1:6" hidden="1" x14ac:dyDescent="0.2">
      <c r="A17" s="4" t="s">
        <v>6</v>
      </c>
      <c r="B17" s="4" t="s">
        <v>7</v>
      </c>
      <c r="C17" s="4" t="s">
        <v>8</v>
      </c>
      <c r="D17" s="4">
        <v>1</v>
      </c>
      <c r="E17" s="4" t="s">
        <v>9</v>
      </c>
      <c r="F17" s="4" t="s">
        <v>10</v>
      </c>
    </row>
    <row r="18" spans="1:6" hidden="1" x14ac:dyDescent="0.2">
      <c r="A18" t="s">
        <v>11</v>
      </c>
      <c r="B18" t="s">
        <v>36</v>
      </c>
      <c r="C18" t="s">
        <v>30</v>
      </c>
      <c r="D18">
        <v>1</v>
      </c>
      <c r="E18" t="s">
        <v>53</v>
      </c>
      <c r="F18" t="s">
        <v>54</v>
      </c>
    </row>
    <row r="19" spans="1:6" hidden="1" x14ac:dyDescent="0.2">
      <c r="A19" s="4" t="s">
        <v>6</v>
      </c>
      <c r="B19" s="4" t="s">
        <v>7</v>
      </c>
      <c r="C19" s="4" t="s">
        <v>17</v>
      </c>
      <c r="D19" s="4">
        <v>1</v>
      </c>
      <c r="E19" s="4" t="s">
        <v>18</v>
      </c>
      <c r="F19" s="4" t="s">
        <v>19</v>
      </c>
    </row>
    <row r="20" spans="1:6" hidden="1" x14ac:dyDescent="0.2">
      <c r="A20" s="4" t="s">
        <v>6</v>
      </c>
      <c r="B20" s="4" t="s">
        <v>7</v>
      </c>
      <c r="C20" s="4" t="s">
        <v>24</v>
      </c>
      <c r="D20" s="4">
        <v>1</v>
      </c>
      <c r="E20" s="4" t="s">
        <v>18</v>
      </c>
      <c r="F20" s="4" t="s">
        <v>25</v>
      </c>
    </row>
    <row r="21" spans="1:6" hidden="1" x14ac:dyDescent="0.2">
      <c r="A21" t="s">
        <v>11</v>
      </c>
      <c r="B21" t="s">
        <v>7</v>
      </c>
      <c r="C21" t="s">
        <v>8</v>
      </c>
      <c r="D21">
        <v>1</v>
      </c>
      <c r="E21" t="s">
        <v>12</v>
      </c>
      <c r="F21" t="s">
        <v>13</v>
      </c>
    </row>
    <row r="22" spans="1:6" hidden="1" x14ac:dyDescent="0.2">
      <c r="A22" s="3" t="s">
        <v>6</v>
      </c>
      <c r="B22" s="3" t="s">
        <v>36</v>
      </c>
      <c r="C22" s="3" t="s">
        <v>30</v>
      </c>
      <c r="D22" s="3">
        <v>1</v>
      </c>
      <c r="E22" s="3" t="s">
        <v>52</v>
      </c>
      <c r="F22" s="3" t="s">
        <v>16</v>
      </c>
    </row>
    <row r="23" spans="1:6" x14ac:dyDescent="0.2">
      <c r="A23" t="s">
        <v>14</v>
      </c>
      <c r="B23" t="s">
        <v>7</v>
      </c>
      <c r="C23" t="s">
        <v>17</v>
      </c>
      <c r="D23">
        <v>1</v>
      </c>
      <c r="E23" t="s">
        <v>22</v>
      </c>
      <c r="F23" t="s">
        <v>23</v>
      </c>
    </row>
    <row r="24" spans="1:6" x14ac:dyDescent="0.2">
      <c r="A24" t="s">
        <v>14</v>
      </c>
      <c r="B24" t="s">
        <v>7</v>
      </c>
      <c r="C24" t="s">
        <v>30</v>
      </c>
      <c r="D24">
        <v>1</v>
      </c>
      <c r="E24" t="s">
        <v>34</v>
      </c>
      <c r="F24" t="s">
        <v>35</v>
      </c>
    </row>
    <row r="25" spans="1:6" x14ac:dyDescent="0.2">
      <c r="A25" t="s">
        <v>14</v>
      </c>
      <c r="B25" t="s">
        <v>7</v>
      </c>
      <c r="C25" t="s">
        <v>24</v>
      </c>
      <c r="D25">
        <v>1</v>
      </c>
      <c r="E25" t="s">
        <v>28</v>
      </c>
      <c r="F25" t="s">
        <v>29</v>
      </c>
    </row>
    <row r="26" spans="1:6" hidden="1" x14ac:dyDescent="0.2">
      <c r="A26" t="s">
        <v>11</v>
      </c>
      <c r="B26" t="s">
        <v>7</v>
      </c>
      <c r="C26" t="s">
        <v>17</v>
      </c>
      <c r="D26">
        <v>1</v>
      </c>
      <c r="E26" t="s">
        <v>20</v>
      </c>
      <c r="F26" t="s">
        <v>21</v>
      </c>
    </row>
    <row r="27" spans="1:6" hidden="1" x14ac:dyDescent="0.2">
      <c r="A27" t="s">
        <v>11</v>
      </c>
      <c r="B27" t="s">
        <v>7</v>
      </c>
      <c r="C27" t="s">
        <v>24</v>
      </c>
      <c r="D27">
        <v>1</v>
      </c>
      <c r="E27" t="s">
        <v>26</v>
      </c>
      <c r="F27" t="s">
        <v>27</v>
      </c>
    </row>
    <row r="28" spans="1:6" hidden="1" x14ac:dyDescent="0.2">
      <c r="A28" t="s">
        <v>11</v>
      </c>
      <c r="B28" t="s">
        <v>7</v>
      </c>
      <c r="C28" t="s">
        <v>30</v>
      </c>
      <c r="D28">
        <v>1</v>
      </c>
      <c r="E28" t="s">
        <v>33</v>
      </c>
      <c r="F28" t="s">
        <v>26</v>
      </c>
    </row>
    <row r="29" spans="1:6" hidden="1" x14ac:dyDescent="0.2">
      <c r="A29" t="s">
        <v>11</v>
      </c>
      <c r="B29" t="s">
        <v>56</v>
      </c>
      <c r="C29" t="s">
        <v>8</v>
      </c>
      <c r="D29">
        <v>1</v>
      </c>
      <c r="E29" t="s">
        <v>25</v>
      </c>
      <c r="F29" t="s">
        <v>48</v>
      </c>
    </row>
    <row r="30" spans="1:6" hidden="1" x14ac:dyDescent="0.2">
      <c r="A30" t="s">
        <v>14</v>
      </c>
      <c r="B30" t="s">
        <v>56</v>
      </c>
      <c r="C30" t="s">
        <v>17</v>
      </c>
      <c r="D30">
        <v>1</v>
      </c>
      <c r="E30" t="s">
        <v>60</v>
      </c>
      <c r="F30" t="s">
        <v>41</v>
      </c>
    </row>
    <row r="31" spans="1:6" hidden="1" x14ac:dyDescent="0.2">
      <c r="A31" s="4" t="s">
        <v>6</v>
      </c>
      <c r="B31" s="4" t="s">
        <v>7</v>
      </c>
      <c r="C31" s="4" t="s">
        <v>30</v>
      </c>
      <c r="D31" s="4">
        <v>1</v>
      </c>
      <c r="E31" s="4" t="s">
        <v>31</v>
      </c>
      <c r="F31" s="4" t="s">
        <v>32</v>
      </c>
    </row>
    <row r="32" spans="1:6" hidden="1" x14ac:dyDescent="0.2">
      <c r="A32" t="s">
        <v>14</v>
      </c>
      <c r="B32" t="s">
        <v>56</v>
      </c>
      <c r="C32" t="s">
        <v>24</v>
      </c>
      <c r="D32">
        <v>1</v>
      </c>
      <c r="E32" t="s">
        <v>19</v>
      </c>
      <c r="F32" t="s">
        <v>47</v>
      </c>
    </row>
    <row r="33" spans="1:6" hidden="1" x14ac:dyDescent="0.2">
      <c r="A33" t="s">
        <v>11</v>
      </c>
      <c r="B33" t="s">
        <v>56</v>
      </c>
      <c r="C33" t="s">
        <v>17</v>
      </c>
      <c r="D33">
        <v>1</v>
      </c>
      <c r="E33" t="s">
        <v>52</v>
      </c>
      <c r="F33" t="s">
        <v>59</v>
      </c>
    </row>
    <row r="34" spans="1:6" hidden="1" x14ac:dyDescent="0.2">
      <c r="A34" t="s">
        <v>14</v>
      </c>
      <c r="B34" t="s">
        <v>56</v>
      </c>
      <c r="C34" t="s">
        <v>30</v>
      </c>
      <c r="D34">
        <v>1</v>
      </c>
      <c r="E34" t="s">
        <v>65</v>
      </c>
      <c r="F34" t="s">
        <v>66</v>
      </c>
    </row>
    <row r="35" spans="1:6" hidden="1" x14ac:dyDescent="0.2">
      <c r="A35" t="s">
        <v>11</v>
      </c>
      <c r="B35" t="s">
        <v>56</v>
      </c>
      <c r="C35" t="s">
        <v>24</v>
      </c>
      <c r="D35">
        <v>1</v>
      </c>
      <c r="E35" t="s">
        <v>62</v>
      </c>
      <c r="F35" t="s">
        <v>19</v>
      </c>
    </row>
    <row r="36" spans="1:6" hidden="1" x14ac:dyDescent="0.2">
      <c r="A36" t="s">
        <v>11</v>
      </c>
      <c r="B36" t="s">
        <v>56</v>
      </c>
      <c r="C36" t="s">
        <v>30</v>
      </c>
      <c r="D36">
        <v>1</v>
      </c>
      <c r="E36" t="s">
        <v>44</v>
      </c>
      <c r="F36" t="s">
        <v>9</v>
      </c>
    </row>
    <row r="37" spans="1:6" hidden="1" x14ac:dyDescent="0.2">
      <c r="A37" t="s">
        <v>14</v>
      </c>
      <c r="B37" t="s">
        <v>56</v>
      </c>
      <c r="C37" t="s">
        <v>8</v>
      </c>
      <c r="D37">
        <v>1</v>
      </c>
      <c r="E37" t="s">
        <v>57</v>
      </c>
      <c r="F37" t="s">
        <v>57</v>
      </c>
    </row>
  </sheetData>
  <autoFilter ref="A1:F37" xr:uid="{00000000-0001-0000-0000-000000000000}">
    <filterColumn colId="0">
      <filters>
        <filter val="SAE"/>
      </filters>
    </filterColumn>
    <filterColumn colId="1">
      <filters>
        <filter val="Low"/>
      </filters>
    </filterColumn>
    <sortState xmlns:xlrd2="http://schemas.microsoft.com/office/spreadsheetml/2017/richdata2" ref="A2:F37">
      <sortCondition descending="1" ref="B1:B37"/>
    </sortState>
  </autoFilter>
  <pageMargins left="0.7" right="0.7" top="0.75" bottom="0.75" header="0.3" footer="0.3"/>
  <ignoredErrors>
    <ignoredError sqref="E38:F38 E2:F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F84B-B342-D649-8386-7FD3405ED9B6}">
  <dimension ref="A1:G31"/>
  <sheetViews>
    <sheetView tabSelected="1" workbookViewId="0">
      <selection activeCell="F31" sqref="F31"/>
    </sheetView>
  </sheetViews>
  <sheetFormatPr baseColWidth="10" defaultRowHeight="15" x14ac:dyDescent="0.2"/>
  <sheetData>
    <row r="1" spans="1:7" ht="17" thickBot="1" x14ac:dyDescent="0.25">
      <c r="A1" s="5"/>
      <c r="B1" s="6" t="s">
        <v>67</v>
      </c>
      <c r="C1" s="6" t="s">
        <v>68</v>
      </c>
      <c r="D1" s="6" t="s">
        <v>69</v>
      </c>
      <c r="E1" s="6" t="s">
        <v>70</v>
      </c>
      <c r="F1" s="6" t="s">
        <v>71</v>
      </c>
      <c r="G1" s="6" t="s">
        <v>72</v>
      </c>
    </row>
    <row r="2" spans="1:7" ht="16" thickBot="1" x14ac:dyDescent="0.25">
      <c r="A2" s="7">
        <v>1</v>
      </c>
      <c r="B2" s="8" t="s">
        <v>73</v>
      </c>
      <c r="C2" s="9">
        <v>3520</v>
      </c>
      <c r="D2" s="9">
        <v>8794957</v>
      </c>
      <c r="E2" s="9">
        <v>400</v>
      </c>
      <c r="F2" s="9">
        <v>50975</v>
      </c>
      <c r="G2" s="8" t="s">
        <v>56</v>
      </c>
    </row>
    <row r="3" spans="1:7" ht="16" thickBot="1" x14ac:dyDescent="0.25">
      <c r="A3" s="7">
        <v>2</v>
      </c>
      <c r="B3" s="8" t="s">
        <v>74</v>
      </c>
      <c r="C3" s="9">
        <v>1165</v>
      </c>
      <c r="D3" s="9">
        <v>20539989</v>
      </c>
      <c r="E3" s="9">
        <v>57</v>
      </c>
      <c r="F3" s="9">
        <v>10806</v>
      </c>
      <c r="G3" s="8" t="s">
        <v>7</v>
      </c>
    </row>
    <row r="4" spans="1:7" ht="16" thickBot="1" x14ac:dyDescent="0.25">
      <c r="A4" s="7">
        <v>3</v>
      </c>
      <c r="B4" s="8" t="s">
        <v>75</v>
      </c>
      <c r="C4" s="9">
        <v>1084</v>
      </c>
      <c r="D4" s="9">
        <v>9058931</v>
      </c>
      <c r="E4" s="9">
        <v>120</v>
      </c>
      <c r="F4" s="9">
        <v>13080</v>
      </c>
      <c r="G4" s="8" t="s">
        <v>36</v>
      </c>
    </row>
    <row r="5" spans="1:7" ht="16" thickBot="1" x14ac:dyDescent="0.25">
      <c r="A5" s="7">
        <v>4</v>
      </c>
      <c r="B5" s="8" t="s">
        <v>76</v>
      </c>
      <c r="C5" s="9">
        <v>1012</v>
      </c>
      <c r="D5" s="9">
        <v>14141626</v>
      </c>
      <c r="E5" s="9">
        <v>72</v>
      </c>
      <c r="F5" s="9">
        <v>14589</v>
      </c>
      <c r="G5" s="8" t="s">
        <v>7</v>
      </c>
    </row>
    <row r="6" spans="1:7" ht="16" thickBot="1" x14ac:dyDescent="0.25">
      <c r="A6" s="7">
        <v>5</v>
      </c>
      <c r="B6" s="8" t="s">
        <v>77</v>
      </c>
      <c r="C6" s="9">
        <v>978</v>
      </c>
      <c r="D6" s="9">
        <v>3974687</v>
      </c>
      <c r="E6" s="9">
        <v>246</v>
      </c>
      <c r="F6" s="9">
        <v>16834</v>
      </c>
      <c r="G6" s="8" t="s">
        <v>56</v>
      </c>
    </row>
    <row r="7" spans="1:7" ht="16" thickBot="1" x14ac:dyDescent="0.25">
      <c r="A7" s="7">
        <v>6</v>
      </c>
      <c r="B7" s="8" t="s">
        <v>78</v>
      </c>
      <c r="C7" s="9">
        <v>875</v>
      </c>
      <c r="D7" s="9">
        <v>3271199</v>
      </c>
      <c r="E7" s="9">
        <v>267</v>
      </c>
      <c r="F7" s="9">
        <v>9462</v>
      </c>
      <c r="G7" s="8" t="s">
        <v>56</v>
      </c>
    </row>
    <row r="8" spans="1:7" ht="16" thickBot="1" x14ac:dyDescent="0.25">
      <c r="A8" s="7">
        <v>7</v>
      </c>
      <c r="B8" s="8" t="s">
        <v>79</v>
      </c>
      <c r="C8" s="9">
        <v>691</v>
      </c>
      <c r="D8" s="9">
        <v>3127683</v>
      </c>
      <c r="E8" s="9">
        <v>221</v>
      </c>
      <c r="F8" s="9">
        <v>10475</v>
      </c>
      <c r="G8" s="8" t="s">
        <v>56</v>
      </c>
    </row>
    <row r="9" spans="1:7" ht="16" thickBot="1" x14ac:dyDescent="0.25">
      <c r="A9" s="7">
        <v>8</v>
      </c>
      <c r="B9" s="8" t="s">
        <v>80</v>
      </c>
      <c r="C9" s="9">
        <v>277</v>
      </c>
      <c r="D9" s="9">
        <v>1511460</v>
      </c>
      <c r="E9" s="9">
        <v>183</v>
      </c>
      <c r="F9" s="9">
        <v>3835</v>
      </c>
      <c r="G9" s="8" t="s">
        <v>36</v>
      </c>
    </row>
    <row r="10" spans="1:7" ht="16" thickBot="1" x14ac:dyDescent="0.25">
      <c r="A10" s="7">
        <v>9</v>
      </c>
      <c r="B10" s="8" t="s">
        <v>81</v>
      </c>
      <c r="C10" s="9">
        <v>247</v>
      </c>
      <c r="D10" s="9">
        <v>3302729</v>
      </c>
      <c r="E10" s="9">
        <v>75</v>
      </c>
      <c r="F10" s="9">
        <v>4818</v>
      </c>
      <c r="G10" s="8" t="s">
        <v>7</v>
      </c>
    </row>
    <row r="11" spans="1:7" ht="16" thickBot="1" x14ac:dyDescent="0.25">
      <c r="A11" s="7">
        <v>10</v>
      </c>
      <c r="B11" s="8" t="s">
        <v>82</v>
      </c>
      <c r="C11" s="9">
        <v>208</v>
      </c>
      <c r="D11" s="9">
        <v>7056495</v>
      </c>
      <c r="E11" s="9">
        <v>29</v>
      </c>
      <c r="F11" s="9">
        <v>4018</v>
      </c>
      <c r="G11" s="8" t="s">
        <v>7</v>
      </c>
    </row>
    <row r="12" spans="1:7" ht="16" thickBot="1" x14ac:dyDescent="0.25">
      <c r="A12" s="7">
        <v>11</v>
      </c>
      <c r="B12" s="8" t="s">
        <v>83</v>
      </c>
      <c r="C12" s="9">
        <v>186</v>
      </c>
      <c r="D12" s="9">
        <v>2210004</v>
      </c>
      <c r="E12" s="9">
        <v>84</v>
      </c>
      <c r="F12" s="9">
        <v>3981</v>
      </c>
      <c r="G12" s="8" t="s">
        <v>7</v>
      </c>
    </row>
    <row r="13" spans="1:7" ht="16" thickBot="1" x14ac:dyDescent="0.25">
      <c r="A13" s="10">
        <v>12</v>
      </c>
      <c r="B13" s="11" t="s">
        <v>84</v>
      </c>
      <c r="C13" s="12">
        <v>83</v>
      </c>
      <c r="D13" s="12">
        <v>6776699</v>
      </c>
      <c r="E13" s="12">
        <v>12</v>
      </c>
      <c r="F13" s="12">
        <v>1736</v>
      </c>
      <c r="G13" s="11" t="s">
        <v>85</v>
      </c>
    </row>
    <row r="14" spans="1:7" ht="16" thickBot="1" x14ac:dyDescent="0.25">
      <c r="A14" s="10">
        <v>13</v>
      </c>
      <c r="B14" s="11" t="s">
        <v>86</v>
      </c>
      <c r="C14" s="12">
        <v>47</v>
      </c>
      <c r="D14" s="12">
        <v>44411238</v>
      </c>
      <c r="E14" s="12">
        <v>1</v>
      </c>
      <c r="F14" s="12">
        <v>909</v>
      </c>
      <c r="G14" s="11" t="s">
        <v>85</v>
      </c>
    </row>
    <row r="15" spans="1:7" ht="16" thickBot="1" x14ac:dyDescent="0.25">
      <c r="A15" s="10">
        <v>14</v>
      </c>
      <c r="B15" s="11" t="s">
        <v>87</v>
      </c>
      <c r="C15" s="12">
        <v>27</v>
      </c>
      <c r="D15" s="12">
        <v>2817381</v>
      </c>
      <c r="E15" s="12">
        <v>10</v>
      </c>
      <c r="F15" s="12">
        <v>474</v>
      </c>
      <c r="G15" s="11" t="s">
        <v>85</v>
      </c>
    </row>
    <row r="16" spans="1:7" ht="16" thickBot="1" x14ac:dyDescent="0.25">
      <c r="A16" s="10">
        <v>15</v>
      </c>
      <c r="B16" s="11" t="s">
        <v>88</v>
      </c>
      <c r="C16" s="12">
        <v>27</v>
      </c>
      <c r="D16" s="12">
        <v>16055174</v>
      </c>
      <c r="E16" s="12">
        <v>2</v>
      </c>
      <c r="F16" s="12">
        <v>511</v>
      </c>
      <c r="G16" s="11" t="s">
        <v>85</v>
      </c>
    </row>
    <row r="17" spans="1:7" ht="16" thickBot="1" x14ac:dyDescent="0.25">
      <c r="A17" s="10">
        <v>16</v>
      </c>
      <c r="B17" s="11" t="s">
        <v>89</v>
      </c>
      <c r="C17" s="12">
        <v>22</v>
      </c>
      <c r="D17" s="12">
        <v>3941613</v>
      </c>
      <c r="E17" s="12">
        <v>6</v>
      </c>
      <c r="F17" s="12">
        <v>142</v>
      </c>
      <c r="G17" s="11" t="s">
        <v>85</v>
      </c>
    </row>
    <row r="18" spans="1:7" ht="16" thickBot="1" x14ac:dyDescent="0.25">
      <c r="A18" s="10">
        <v>17</v>
      </c>
      <c r="B18" s="11" t="s">
        <v>90</v>
      </c>
      <c r="C18" s="12">
        <v>21</v>
      </c>
      <c r="D18" s="12">
        <v>636707</v>
      </c>
      <c r="E18" s="12">
        <v>33</v>
      </c>
      <c r="F18" s="12">
        <v>95</v>
      </c>
      <c r="G18" s="11" t="s">
        <v>85</v>
      </c>
    </row>
    <row r="19" spans="1:7" ht="16" thickBot="1" x14ac:dyDescent="0.25">
      <c r="A19" s="10">
        <v>18</v>
      </c>
      <c r="B19" s="11" t="s">
        <v>91</v>
      </c>
      <c r="C19" s="12">
        <v>16</v>
      </c>
      <c r="D19" s="12">
        <v>2757013</v>
      </c>
      <c r="E19" s="12">
        <v>6</v>
      </c>
      <c r="F19" s="12">
        <v>260</v>
      </c>
      <c r="G19" s="11" t="s">
        <v>85</v>
      </c>
    </row>
    <row r="20" spans="1:7" ht="16" thickBot="1" x14ac:dyDescent="0.25">
      <c r="A20" s="10">
        <v>19</v>
      </c>
      <c r="B20" s="11" t="s">
        <v>92</v>
      </c>
      <c r="C20" s="12">
        <v>13</v>
      </c>
      <c r="D20" s="12">
        <v>3658649</v>
      </c>
      <c r="E20" s="12">
        <v>4</v>
      </c>
      <c r="F20" s="12">
        <v>155</v>
      </c>
      <c r="G20" s="11" t="s">
        <v>85</v>
      </c>
    </row>
    <row r="21" spans="1:7" ht="16" thickBot="1" x14ac:dyDescent="0.25">
      <c r="A21" s="10">
        <v>20</v>
      </c>
      <c r="B21" s="11" t="s">
        <v>93</v>
      </c>
      <c r="C21" s="12">
        <v>7</v>
      </c>
      <c r="D21" s="12">
        <v>8120131</v>
      </c>
      <c r="E21" s="12">
        <v>1</v>
      </c>
      <c r="F21" s="12">
        <v>87</v>
      </c>
      <c r="G21" s="11" t="s">
        <v>85</v>
      </c>
    </row>
    <row r="22" spans="1:7" ht="16" thickBot="1" x14ac:dyDescent="0.25">
      <c r="A22" s="10">
        <v>21</v>
      </c>
      <c r="B22" s="11" t="s">
        <v>94</v>
      </c>
      <c r="C22" s="12">
        <v>6</v>
      </c>
      <c r="D22" s="12">
        <v>10882965</v>
      </c>
      <c r="E22" s="12">
        <v>1</v>
      </c>
      <c r="F22" s="12">
        <v>66</v>
      </c>
      <c r="G22" s="11" t="s">
        <v>85</v>
      </c>
    </row>
    <row r="23" spans="1:7" ht="16" thickBot="1" x14ac:dyDescent="0.25">
      <c r="A23" s="10">
        <v>22</v>
      </c>
      <c r="B23" s="11" t="s">
        <v>95</v>
      </c>
      <c r="C23" s="12">
        <v>6</v>
      </c>
      <c r="D23" s="12">
        <v>1581196</v>
      </c>
      <c r="E23" s="12">
        <v>4</v>
      </c>
      <c r="F23" s="12">
        <v>64</v>
      </c>
      <c r="G23" s="11" t="s">
        <v>85</v>
      </c>
    </row>
    <row r="24" spans="1:7" ht="16" thickBot="1" x14ac:dyDescent="0.25">
      <c r="A24" s="10">
        <v>23</v>
      </c>
      <c r="B24" s="11" t="s">
        <v>96</v>
      </c>
      <c r="C24" s="12">
        <v>5</v>
      </c>
      <c r="D24" s="12">
        <v>7610361</v>
      </c>
      <c r="E24" s="12">
        <v>1</v>
      </c>
      <c r="F24" s="12">
        <v>25</v>
      </c>
      <c r="G24" s="11" t="s">
        <v>85</v>
      </c>
    </row>
    <row r="25" spans="1:7" ht="16" thickBot="1" x14ac:dyDescent="0.25">
      <c r="A25" s="10">
        <v>24</v>
      </c>
      <c r="B25" s="11" t="s">
        <v>97</v>
      </c>
      <c r="C25" s="12">
        <v>3</v>
      </c>
      <c r="D25" s="12">
        <v>733759</v>
      </c>
      <c r="E25" s="12">
        <v>4</v>
      </c>
      <c r="F25" s="12">
        <v>25</v>
      </c>
      <c r="G25" s="11" t="s">
        <v>85</v>
      </c>
    </row>
    <row r="26" spans="1:7" ht="16" thickBot="1" x14ac:dyDescent="0.25">
      <c r="A26" s="10">
        <v>25</v>
      </c>
      <c r="B26" s="11" t="s">
        <v>98</v>
      </c>
      <c r="C26" s="12">
        <v>3</v>
      </c>
      <c r="D26" s="12">
        <v>11444380</v>
      </c>
      <c r="E26" s="12">
        <v>0</v>
      </c>
      <c r="F26" s="12">
        <v>28</v>
      </c>
      <c r="G26" s="11" t="s">
        <v>85</v>
      </c>
    </row>
    <row r="27" spans="1:7" ht="16" thickBot="1" x14ac:dyDescent="0.25">
      <c r="A27" s="10">
        <v>26</v>
      </c>
      <c r="B27" s="11" t="s">
        <v>99</v>
      </c>
      <c r="C27" s="12">
        <v>2</v>
      </c>
      <c r="D27" s="12">
        <v>830018</v>
      </c>
      <c r="E27" s="12">
        <v>2</v>
      </c>
      <c r="F27" s="12">
        <v>17</v>
      </c>
      <c r="G27" s="11" t="s">
        <v>85</v>
      </c>
    </row>
    <row r="28" spans="1:7" ht="16" thickBot="1" x14ac:dyDescent="0.25">
      <c r="A28" s="10">
        <v>27</v>
      </c>
      <c r="B28" s="11" t="s">
        <v>100</v>
      </c>
      <c r="C28" s="12">
        <v>1</v>
      </c>
      <c r="D28" s="12">
        <v>3833712</v>
      </c>
      <c r="E28" s="12">
        <v>0</v>
      </c>
      <c r="F28" s="12">
        <v>2</v>
      </c>
      <c r="G28" s="11" t="s">
        <v>85</v>
      </c>
    </row>
    <row r="30" spans="1:7" x14ac:dyDescent="0.2">
      <c r="F30">
        <f>SUM(F2:F29)</f>
        <v>147469</v>
      </c>
    </row>
    <row r="31" spans="1:7" x14ac:dyDescent="0.2">
      <c r="F31">
        <f>SUM(F2:F12)/F30</f>
        <v>0.96883412785059908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Hyolim Kang</cp:lastModifiedBy>
  <dcterms:created xsi:type="dcterms:W3CDTF">2026-02-25T02:29:09Z</dcterms:created>
  <dcterms:modified xsi:type="dcterms:W3CDTF">2026-02-25T06:59:20Z</dcterms:modified>
</cp:coreProperties>
</file>